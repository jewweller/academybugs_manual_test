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ewrzovchik/Downloads/"/>
    </mc:Choice>
  </mc:AlternateContent>
  <xr:revisionPtr revIDLastSave="0" documentId="13_ncr:1_{74F6FD0D-2D6D-8C46-A638-97F6C3494722}" xr6:coauthVersionLast="47" xr6:coauthVersionMax="47" xr10:uidLastSave="{00000000-0000-0000-0000-000000000000}"/>
  <bookViews>
    <workbookView xWindow="0" yWindow="660" windowWidth="34560" windowHeight="21680" tabRatio="500" activeTab="2" xr2:uid="{00000000-000D-0000-FFFF-FFFF00000000}"/>
  </bookViews>
  <sheets>
    <sheet name="Тест-кейсы" sheetId="1" r:id="rId1"/>
    <sheet name="Баг-репорты" sheetId="2" r:id="rId2"/>
    <sheet name="Отчёт" sheetId="3" r:id="rId3"/>
  </sheets>
  <definedNames>
    <definedName name="_xlnm._FilterDatabase" localSheetId="1" hidden="1">'Баг-репорты'!$A$1:$M$14</definedName>
    <definedName name="_xlnm._FilterDatabase" localSheetId="0" hidden="1">'Тест-кейсы'!$A$1:$L$40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8" i="3" l="1"/>
  <c r="B31" i="3" s="1"/>
  <c r="B27" i="3"/>
  <c r="B26" i="3"/>
  <c r="B24" i="3"/>
  <c r="B23" i="3"/>
  <c r="B22" i="3"/>
  <c r="B21" i="3"/>
  <c r="B20" i="3"/>
  <c r="B25" i="3" s="1"/>
  <c r="B15" i="3"/>
  <c r="B14" i="3"/>
  <c r="B13" i="3"/>
  <c r="B12" i="3"/>
  <c r="B11" i="3"/>
  <c r="B16" i="3" s="1"/>
  <c r="B17" i="3" s="1"/>
</calcChain>
</file>

<file path=xl/sharedStrings.xml><?xml version="1.0" encoding="utf-8"?>
<sst xmlns="http://schemas.openxmlformats.org/spreadsheetml/2006/main" count="521" uniqueCount="257">
  <si>
    <t>ID</t>
  </si>
  <si>
    <t>Сьют</t>
  </si>
  <si>
    <t>Название</t>
  </si>
  <si>
    <t>Приоритет</t>
  </si>
  <si>
    <t>Предусловия</t>
  </si>
  <si>
    <t>№ шага</t>
  </si>
  <si>
    <t>Шаг</t>
  </si>
  <si>
    <t>Ожидаемый результат</t>
  </si>
  <si>
    <t>Фактический результат</t>
  </si>
  <si>
    <t>Статус шага</t>
  </si>
  <si>
    <t>Статус кейса</t>
  </si>
  <si>
    <t>Баг</t>
  </si>
  <si>
    <t>TC-001</t>
  </si>
  <si>
    <t>Каталог</t>
  </si>
  <si>
    <t>Карточки товаров в каталоге одного размера</t>
  </si>
  <si>
    <t>Medium</t>
  </si>
  <si>
    <t>Открыта страница каталога https://academybugs.com/find-bugs/</t>
  </si>
  <si>
    <t>Пролистать каталог до конца, сравнить размеры карточек всех 18 товаров</t>
  </si>
  <si>
    <t>Все карточки одинаковой ширины и высоты, фото не выходят за границы карточки</t>
  </si>
  <si>
    <t>У товара «Dark Grey Jeans» справа белая полоса, карточка отличается по размеру от остальных</t>
  </si>
  <si>
    <t>Failed</t>
  </si>
  <si>
    <t>BUG-001</t>
  </si>
  <si>
    <t>TC-002</t>
  </si>
  <si>
    <t>Переход в карточку товара из каталога</t>
  </si>
  <si>
    <t>High</t>
  </si>
  <si>
    <t>Нажать на название товара «Blue Hoodie»</t>
  </si>
  <si>
    <t>Открывается страница товара «Blue Hoodie»</t>
  </si>
  <si>
    <t>Passed</t>
  </si>
  <si>
    <t>TC-003</t>
  </si>
  <si>
    <t>Карточка товара</t>
  </si>
  <si>
    <t>Переключение валюты в карточке товара</t>
  </si>
  <si>
    <t>Открыта страница каталога https://academybugs.com/find-bugs/
Открыта карточка товара «Blue Hoodie»</t>
  </si>
  <si>
    <t>В списке валют выбрать EUR</t>
  </si>
  <si>
    <t>Страница обновляется без задержки, цена отображается в EUR</t>
  </si>
  <si>
    <t>Страница зависает примерно на 5 секунд</t>
  </si>
  <si>
    <t>BUG-002</t>
  </si>
  <si>
    <t>TC-004</t>
  </si>
  <si>
    <t>Просмотр фото товара в увеличенном виде</t>
  </si>
  <si>
    <t>Low</t>
  </si>
  <si>
    <t>Нажать на фото товара</t>
  </si>
  <si>
    <t>Открывается всплывающее окно с увеличенным фото</t>
  </si>
  <si>
    <t>TC-005</t>
  </si>
  <si>
    <t>Переход на страницу производителя по ссылке</t>
  </si>
  <si>
    <t>Нажать на ссылку с названием производителя (под полем количества)</t>
  </si>
  <si>
    <t>Открывается страница с информацией о производителе</t>
  </si>
  <si>
    <t>Открывается страница с ошибкой 404</t>
  </si>
  <si>
    <t>BUG-003</t>
  </si>
  <si>
    <t>TC-006</t>
  </si>
  <si>
    <t>Корзина</t>
  </si>
  <si>
    <t>Добавление товара в корзину из каталога</t>
  </si>
  <si>
    <t>Открыта страница каталога https://academybugs.com/find-bugs/
Корзина пуста</t>
  </si>
  <si>
    <t>Нажать «Add to cart» у товара «DNK Yellow Shoes»</t>
  </si>
  <si>
    <t>Появляется сообщение об успешном добавлении</t>
  </si>
  <si>
    <t>Нажать «View Cart»</t>
  </si>
  <si>
    <t>В корзине «DNK Yellow Shoes», количество 1, сумма $45.00</t>
  </si>
  <si>
    <t>TC-007</t>
  </si>
  <si>
    <t>Изменение количества товара в корзине на 5</t>
  </si>
  <si>
    <t>Открыта страница каталога https://academybugs.com/find-bugs/
В корзине «DNK Yellow Shoes», количество 1</t>
  </si>
  <si>
    <t>В поле количества ввести 5</t>
  </si>
  <si>
    <t>В поле отображается 5</t>
  </si>
  <si>
    <t>BUG-004</t>
  </si>
  <si>
    <t>Нажать «Update»</t>
  </si>
  <si>
    <t>Количество 5, сумма $225.00</t>
  </si>
  <si>
    <t>Количество сбрасывается до 2, сумма $90.00</t>
  </si>
  <si>
    <t>TC-008</t>
  </si>
  <si>
    <t>Удаление товара из корзины</t>
  </si>
  <si>
    <t>Открыта страница каталога https://academybugs.com/find-bugs/
В корзине только «DNK Yellow Shoes»</t>
  </si>
  <si>
    <t>Нажать кнопку удаления у товара</t>
  </si>
  <si>
    <t>Товар удалён из корзины</t>
  </si>
  <si>
    <t>TC-009</t>
  </si>
  <si>
    <t>Сообщение о пустой корзине</t>
  </si>
  <si>
    <t>Удалить товар из корзины</t>
  </si>
  <si>
    <t>Показано сообщение, что корзина пуста, и кнопка «Return to Store» без ошибок в тексте</t>
  </si>
  <si>
    <t>Сообщение показано, в тексте кнопки опечатка: «return to stor    e»</t>
  </si>
  <si>
    <t>BUG-005</t>
  </si>
  <si>
    <t>TC-010</t>
  </si>
  <si>
    <t>Ввод очень большого количества товара в корзине</t>
  </si>
  <si>
    <t>В поле количества ввести 99999999999999</t>
  </si>
  <si>
    <t>В поле отображается введённое значение</t>
  </si>
  <si>
    <t>Показано сообщение об ошибке, или количество ограничено максимально допустимым значением</t>
  </si>
  <si>
    <t>TC-011</t>
  </si>
  <si>
    <t>Ввод отрицательного количества товара в корзине</t>
  </si>
  <si>
    <t>В поле количества ввести -1</t>
  </si>
  <si>
    <t>Отрицательное количество не сохраняется, количество меняется на 1</t>
  </si>
  <si>
    <t>TC-012</t>
  </si>
  <si>
    <t>Аккаунт</t>
  </si>
  <si>
    <t>Отображение формы входа на странице товара</t>
  </si>
  <si>
    <t>Пролистать страницу вниз до формы входа</t>
  </si>
  <si>
    <t>Все элементы формы, включая кнопку «Sign in», находятся внутри формы и не перекрывают футер</t>
  </si>
  <si>
    <t>Кнопка «Sign in» заходит на футер</t>
  </si>
  <si>
    <t>BUG-006</t>
  </si>
  <si>
    <t>TC-013</t>
  </si>
  <si>
    <t>Расположение кнопки «Sign in» на странице аккаунта</t>
  </si>
  <si>
    <t>В форме входа ввести email new_user_001@test.com и пароль Qwerty123 (такого пользователя нет), нажать «Sign in»</t>
  </si>
  <si>
    <t>Открывается страница аккаунта с секциями входа и регистрации</t>
  </si>
  <si>
    <t>BUG-007</t>
  </si>
  <si>
    <t>Посмотреть на кнопку «Sign in» в секции входа</t>
  </si>
  <si>
    <t>Кнопка выровнена по центру, как остальные кнопки страницы</t>
  </si>
  <si>
    <t>Кнопка «Sign in» не выровнена по центру</t>
  </si>
  <si>
    <t>TC-014</t>
  </si>
  <si>
    <t>Язык текста в секции «New User»</t>
  </si>
  <si>
    <t>Открыта страница каталога https://academybugs.com/find-bugs/
Открыта страница аккаунта (см. шаг 1 TC-013)</t>
  </si>
  <si>
    <t>Прочитать текст под заголовком «New User»</t>
  </si>
  <si>
    <t>Весь текст страницы на английском языке</t>
  </si>
  <si>
    <t>Текст под заголовком «New User» на русском языке</t>
  </si>
  <si>
    <t>BUG-008</t>
  </si>
  <si>
    <t>TC-015</t>
  </si>
  <si>
    <t>Регистрация</t>
  </si>
  <si>
    <t>Регистрация с пустыми обязательными полями</t>
  </si>
  <si>
    <t>Нажать «Create account»</t>
  </si>
  <si>
    <t>Открывается форма регистрации: email, имя, пароль и другие поля</t>
  </si>
  <si>
    <t>Не заполняя поля, нажать кнопку отправки формы</t>
  </si>
  <si>
    <t>Регистрация не выполняется, обязательные поля подсвечены, показано сообщение о необходимости их заполнить</t>
  </si>
  <si>
    <t>TC-016</t>
  </si>
  <si>
    <t>Оформление заказа</t>
  </si>
  <si>
    <t>Оформление заказа с валидными данными</t>
  </si>
  <si>
    <t>В корзине нажать кнопку оформления заказа</t>
  </si>
  <si>
    <t>Открывается форма адреса доставки</t>
  </si>
  <si>
    <t>Заполнить поля: First Name: Ivan, Last Name: Petrov, Address: 1 Test Street, City: Moscow, Zip: 101000, Email: ivan@test.com, Phone: +79990000000</t>
  </si>
  <si>
    <t>Поля принимают данные, ошибок нет</t>
  </si>
  <si>
    <t>Перейти к подтверждению заказа</t>
  </si>
  <si>
    <t>Итоговая сумма $45.00 плюс доставка, данные адреса совпадают с введёнными</t>
  </si>
  <si>
    <t>Нажать «Submit Order»</t>
  </si>
  <si>
    <t>Показано сообщение об успешном заказе</t>
  </si>
  <si>
    <t>TC-017</t>
  </si>
  <si>
    <t>Сортировка каталога по цене по возрастанию</t>
  </si>
  <si>
    <t>В списке сортировки выбрать «Price Low-High»</t>
  </si>
  <si>
    <t>Товары отсортированы по цене от меньшей к большей, первым идёт самый дешёвый товар</t>
  </si>
  <si>
    <t>TC-018</t>
  </si>
  <si>
    <t>Ввод количества 0 в корзине</t>
  </si>
  <si>
    <t>В поле количества ввести 0</t>
  </si>
  <si>
    <t>В поле отображается 0</t>
  </si>
  <si>
    <t>BUG-009</t>
  </si>
  <si>
    <t>Товар удаляется из корзины</t>
  </si>
  <si>
    <t>Количество меняется на 1, товар остаётся в корзине</t>
  </si>
  <si>
    <t>TC-019</t>
  </si>
  <si>
    <t>Отображение 50 товаров на странице каталога</t>
  </si>
  <si>
    <t>Нажать «50» рядом с надписью «View»</t>
  </si>
  <si>
    <t>Страница обновляется без задержки, отображаются все товары каталога (до 50 на странице)</t>
  </si>
  <si>
    <t>BUG-013</t>
  </si>
  <si>
    <t>TC-020</t>
  </si>
  <si>
    <t>Ввод некорректного номера телефона при оформлении заказа</t>
  </si>
  <si>
    <t>Открыта форма оформления заказа https://academybugs.com/my-cart/?ec_page=checkout_info
В корзине «DNK Yellow Shoes», количество 1</t>
  </si>
  <si>
    <t>Заполнить поля: First Name: Ivan, Last Name: Petrov, Address: 1 Test Street, City: Moscow, Zip: 101000, Email: ivan@test.com, Phone: 1</t>
  </si>
  <si>
    <t>Поля принимают данные</t>
  </si>
  <si>
    <t>BUG-010</t>
  </si>
  <si>
    <t>Нажать «Continue to Shipping»</t>
  </si>
  <si>
    <t>Показана ошибка о некорректном номере телефона, переход к доставке не выполняется</t>
  </si>
  <si>
    <t>Переход к следующему шагу выполняется, ошибки нет</t>
  </si>
  <si>
    <t>TC-021</t>
  </si>
  <si>
    <t>Ввод несуществующего города при оформлении заказа</t>
  </si>
  <si>
    <t>Заполнить поля: First Name: Ivan, Last Name: Petrov, Address: 1 Test Street, City: а, Zip: 101000, Email: ivan@test.com, Phone: +79990000000</t>
  </si>
  <si>
    <t>BUG-011</t>
  </si>
  <si>
    <t>Показана ошибка о некорректном городе, переход к доставке не выполняется</t>
  </si>
  <si>
    <t>Переход к следующему шагу выполняется, город не проверяется</t>
  </si>
  <si>
    <t>TC-022</t>
  </si>
  <si>
    <t>Публикация отзыва с валидными данными</t>
  </si>
  <si>
    <t>Открыта карточка товара https://academybugs.com/store/dnk-yellow-shoes/</t>
  </si>
  <si>
    <t>Пролистать страницу вниз до формы «Leave a Reply»</t>
  </si>
  <si>
    <t>Форма отзыва отображается</t>
  </si>
  <si>
    <t>BUG-012</t>
  </si>
  <si>
    <t>Заполнить поля: Comment: Great shoes, Name: Ivan, Email: ivan@test.com</t>
  </si>
  <si>
    <t>Нажать «Post Comment»</t>
  </si>
  <si>
    <t>Отзыв опубликован и отображается на странице товара</t>
  </si>
  <si>
    <t>TC-023</t>
  </si>
  <si>
    <t>Публикация отзыва с некорректным email</t>
  </si>
  <si>
    <t>Blocked</t>
  </si>
  <si>
    <t>Заполнить поля: Comment: Great shoes, Name: Ivan, Email: ivan</t>
  </si>
  <si>
    <t>Показано сообщение о некорректном email, отзыв не опубликован</t>
  </si>
  <si>
    <t>Проверка невозможна: страница зависает после нажатия «Post Comment» (BUG-012)</t>
  </si>
  <si>
    <t>Заголовок</t>
  </si>
  <si>
    <t>Тип</t>
  </si>
  <si>
    <t>Severity</t>
  </si>
  <si>
    <t>Priority</t>
  </si>
  <si>
    <t>Статус</t>
  </si>
  <si>
    <t>Окружение</t>
  </si>
  <si>
    <t>Шаги воспроизведения</t>
  </si>
  <si>
    <t>Тест-кейс</t>
  </si>
  <si>
    <t>Комментарий</t>
  </si>
  <si>
    <t>В каталоге карточка «Dark Grey Jeans» отличается по размеру и имеет белую полосу справа</t>
  </si>
  <si>
    <t>Bug</t>
  </si>
  <si>
    <t>Minor</t>
  </si>
  <si>
    <t>New</t>
  </si>
  <si>
    <t>macOS, Chrome 155.0.8059.85</t>
  </si>
  <si>
    <t>1. Пролистать каталог до товара «Dark Grey Jeans»
2. Сравнить карточку с соседними</t>
  </si>
  <si>
    <t>Карточка отличается по размеру от остальных, справа белая полоса</t>
  </si>
  <si>
    <t>Карточка такого же размера, как остальные, без полос</t>
  </si>
  <si>
    <t>Страница товара зависает на ~5 секунд при переключении валюты</t>
  </si>
  <si>
    <t>Major</t>
  </si>
  <si>
    <t>1. В списке валют выбрать EUR</t>
  </si>
  <si>
    <t>Страница не реагирует примерно 5 секунд</t>
  </si>
  <si>
    <t>Цена обновляется сразу, без зависания</t>
  </si>
  <si>
    <t>Похоже на BUG-002, BUG-012 и BUG-013: везде зависание на ~5 секунд, возможно одна причина</t>
  </si>
  <si>
    <t>Ссылка на производителя в карточке товара ведёт на страницу 404</t>
  </si>
  <si>
    <t>1. Нажать на ссылку с названием производителя под полем количества</t>
  </si>
  <si>
    <t>В корзине количество товара сбрасывается до 2 после «Update», если введено больше 2</t>
  </si>
  <si>
    <t>Critical</t>
  </si>
  <si>
    <t>1. В поле количества ввести 5
2. Нажать «Update»</t>
  </si>
  <si>
    <t>Количество 2, сумма $90.00</t>
  </si>
  <si>
    <t>Воспроизводится и с большим числом (TC-010)</t>
  </si>
  <si>
    <t>Опечатка в тексте кнопки возврата в магазин на странице пустой корзины</t>
  </si>
  <si>
    <t>Trivial</t>
  </si>
  <si>
    <t>1. Удалить товар из корзины
2. Прочитать текст кнопки под сообщением о пустой корзине</t>
  </si>
  <si>
    <t>Текст кнопки: «return to stor    e»</t>
  </si>
  <si>
    <t>Текст кнопки: «Return to Store»</t>
  </si>
  <si>
    <t>Кнопка «Sign in» в форме входа на странице товара заходит на футер</t>
  </si>
  <si>
    <t>1. Пролистать страницу до формы входа</t>
  </si>
  <si>
    <t>Кнопка «Sign in» перекрывает футер</t>
  </si>
  <si>
    <t>Кнопка внутри формы, футер не перекрыт</t>
  </si>
  <si>
    <t>Кнопка «Sign in» на странице аккаунта не выровнена по центру</t>
  </si>
  <si>
    <t>1. В форме входа ввести new_user_001@test.com и Qwerty123
2. Нажать «Sign in»
3. Посмотреть на кнопку «Sign in» в секции входа</t>
  </si>
  <si>
    <t>Кнопка смещена от центра</t>
  </si>
  <si>
    <t>Кнопка выровнена по центру, как остальные кнопки</t>
  </si>
  <si>
    <t>Текст в секции «New User» на странице аккаунта на русском языке вместо английского</t>
  </si>
  <si>
    <t>1. Прочитать текст под заголовком «New User»</t>
  </si>
  <si>
    <t>Текст на русском языке</t>
  </si>
  <si>
    <t>Весь текст страницы на английском</t>
  </si>
  <si>
    <t>При вводе количества 0 в корзине товар не удаляется, количество меняется на 1</t>
  </si>
  <si>
    <t>1. В поле количества ввести 0
2. Нажать «Update»</t>
  </si>
  <si>
    <t>В форме оформления заказа нет ошибки при некорректном номере телефона</t>
  </si>
  <si>
    <t>1. Заполнить поля валидными данными, в поле «Phone» ввести 1
2. Нажать «Continue to Shipping»</t>
  </si>
  <si>
    <t>Показана ошибка о некорректном номере телефона, переход не выполняется</t>
  </si>
  <si>
    <t>Поле «City» в форме оформления заказа принимает любое значение без проверки</t>
  </si>
  <si>
    <t>Improvement</t>
  </si>
  <si>
    <t>1. Заполнить поля валидными данными, в поле «City» ввести «а»
2. Нажать «Continue to Shipping»</t>
  </si>
  <si>
    <t>Показана ошибка о некорректном городе, или город выбирается из списка, как страна и штат</t>
  </si>
  <si>
    <t>Требований к полю нет, нужно уточнить у аналитика</t>
  </si>
  <si>
    <t>Страница товара зависает на ~5 секунд после нажатия «Post Comment»</t>
  </si>
  <si>
    <t>1. Пролистать страницу до формы «Leave a Reply»
2. Заполнить: Comment: Great shoes, Name: Ivan, Email: ivan@test.com
3. Нажать «Post Comment»</t>
  </si>
  <si>
    <t>Похоже на BUG-002, BUG-012 и BUG-013: везде зависание на ~5 секунд, возможно одна причина. Блокирует TC-023</t>
  </si>
  <si>
    <t>Страница каталога зависает на ~5 секунд после выбора «50» в «View»</t>
  </si>
  <si>
    <t>1. Нажать «50» рядом с надписью «View»</t>
  </si>
  <si>
    <t>Страница обновляется без задержки, отображаются все товары каталога</t>
  </si>
  <si>
    <t>Отчёт о тестировании</t>
  </si>
  <si>
    <t>Сведения о прогоне</t>
  </si>
  <si>
    <t>Проект</t>
  </si>
  <si>
    <t>Интернет-магазин AcademyBugs (учебный стенд)</t>
  </si>
  <si>
    <t>Стенд</t>
  </si>
  <si>
    <t>https://academybugs.com/find-bugs/</t>
  </si>
  <si>
    <t>Тестировщик</t>
  </si>
  <si>
    <t>Период тестирования</t>
  </si>
  <si>
    <t>18.10.2026 - 26.10.2026</t>
  </si>
  <si>
    <t>Тест-кейсы</t>
  </si>
  <si>
    <t>Skipped</t>
  </si>
  <si>
    <t>Not run</t>
  </si>
  <si>
    <t>Всего кейсов</t>
  </si>
  <si>
    <t>Доля Passed</t>
  </si>
  <si>
    <t>Дефекты по серьёзности</t>
  </si>
  <si>
    <t>Blocker</t>
  </si>
  <si>
    <t>Всего записей</t>
  </si>
  <si>
    <t>Из них Bug</t>
  </si>
  <si>
    <t>Из них Improvement</t>
  </si>
  <si>
    <t>Открытых Blocker и Critical</t>
  </si>
  <si>
    <t>Вывод</t>
  </si>
  <si>
    <t>Готовность к релизу</t>
  </si>
  <si>
    <t>Магазин не готов к релизу. Главный дефект в корзине: нельзя указать больше 2 единиц товара (BUG-004). В трёх местах страница зависает примерно на 5 секунд: смена валюты, выбор 50 товаров на странице и публикация отзыва (BUG-002, BUG-012, BUG-013). Возможно, у них одна причина. Из-за BUG-012 не удалось проверить валидацию email в отзывах (TC-023). В форме оформления заказа нет проверки телефона и города (BUG-010, BUG-011).</t>
  </si>
  <si>
    <t>jewweller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</si>
</sst>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9C0006"/>
      <name val="Arial"/>
      <family val="2"/>
    </font>
    <font>
      <u/>
      <sz val="10"/>
      <color rgb="FF1F5FBF"/>
      <name val="Arial"/>
      <family val="2"/>
    </font>
    <font>
      <b/>
      <sz val="10"/>
      <color rgb="FF006100"/>
      <name val="Arial"/>
      <family val="2"/>
    </font>
    <font>
      <sz val="10"/>
      <color rgb="FF9AA3AE"/>
      <name val="Arial"/>
      <family val="2"/>
    </font>
    <font>
      <b/>
      <sz val="10"/>
      <color rgb="FF7A45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C7CE"/>
        <bgColor rgb="FFF8D3D3"/>
      </patternFill>
    </fill>
    <fill>
      <patternFill patternType="solid">
        <fgColor rgb="FFC6EFCE"/>
        <bgColor rgb="FFE4E7EB"/>
      </patternFill>
    </fill>
    <fill>
      <patternFill patternType="solid">
        <fgColor rgb="FFFCE3C4"/>
        <bgColor rgb="FFFFF4C2"/>
      </patternFill>
    </fill>
  </fills>
  <borders count="2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9" fontId="3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vertical="top" wrapText="1"/>
    </xf>
  </cellXfs>
  <cellStyles count="1">
    <cellStyle name="Обычный" xfId="0" builtinId="0"/>
  </cellStyles>
  <dxfs count="10">
    <dxf>
      <fill>
        <patternFill>
          <bgColor rgb="FFE4E7EB"/>
        </patternFill>
      </fill>
    </dxf>
    <dxf>
      <fill>
        <patternFill>
          <bgColor rgb="FFFFF4C2"/>
        </patternFill>
      </fill>
    </dxf>
    <dxf>
      <fill>
        <patternFill>
          <bgColor rgb="FFFCE3C4"/>
        </patternFill>
      </fill>
    </dxf>
    <dxf>
      <fill>
        <patternFill>
          <bgColor rgb="FFF8D3D3"/>
        </patternFill>
      </fill>
    </dxf>
    <dxf>
      <fill>
        <patternFill>
          <bgColor rgb="FFE8A0A0"/>
        </patternFill>
      </fill>
    </dxf>
    <dxf>
      <fill>
        <patternFill>
          <bgColor rgb="FFEEF0F3"/>
        </patternFill>
      </fill>
    </dxf>
    <dxf>
      <fill>
        <patternFill>
          <bgColor rgb="FFE4E7EB"/>
        </patternFill>
      </fill>
    </dxf>
    <dxf>
      <font>
        <b/>
        <color rgb="FF7A4500"/>
      </font>
      <fill>
        <patternFill>
          <bgColor rgb="FFFCE3C4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8D3D3"/>
      <rgbColor rgb="FF808080"/>
      <rgbColor rgb="FF9999FF"/>
      <rgbColor rgb="FF993366"/>
      <rgbColor rgb="FFFFF4C2"/>
      <rgbColor rgb="FFEEF0F3"/>
      <rgbColor rgb="FF660066"/>
      <rgbColor rgb="FFFF8080"/>
      <rgbColor rgb="FF1F5FBF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7EB"/>
      <rgbColor rgb="FFC6EFCE"/>
      <rgbColor rgb="FFFCE3C4"/>
      <rgbColor rgb="FF99CCFF"/>
      <rgbColor rgb="FFE8A0A0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AA3AE"/>
      <rgbColor rgb="FF1F3A5F"/>
      <rgbColor rgb="FF339966"/>
      <rgbColor rgb="FF003300"/>
      <rgbColor rgb="FF333300"/>
      <rgbColor rgb="FF7A45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cademyBugs_test_documentation.xlsx" TargetMode="External"/><Relationship Id="rId13" Type="http://schemas.openxmlformats.org/officeDocument/2006/relationships/hyperlink" Target="AcademyBugs_test_documentation.xlsx" TargetMode="External"/><Relationship Id="rId3" Type="http://schemas.openxmlformats.org/officeDocument/2006/relationships/hyperlink" Target="AcademyBugs_test_documentation.xlsx" TargetMode="External"/><Relationship Id="rId7" Type="http://schemas.openxmlformats.org/officeDocument/2006/relationships/hyperlink" Target="AcademyBugs_test_documentation.xlsx" TargetMode="External"/><Relationship Id="rId12" Type="http://schemas.openxmlformats.org/officeDocument/2006/relationships/hyperlink" Target="AcademyBugs_test_documentation.xlsx" TargetMode="External"/><Relationship Id="rId2" Type="http://schemas.openxmlformats.org/officeDocument/2006/relationships/hyperlink" Target="AcademyBugs_test_documentation.xlsx" TargetMode="External"/><Relationship Id="rId1" Type="http://schemas.openxmlformats.org/officeDocument/2006/relationships/hyperlink" Target="AcademyBugs_test_documentation.xlsx" TargetMode="External"/><Relationship Id="rId6" Type="http://schemas.openxmlformats.org/officeDocument/2006/relationships/hyperlink" Target="AcademyBugs_test_documentation.xlsx" TargetMode="External"/><Relationship Id="rId11" Type="http://schemas.openxmlformats.org/officeDocument/2006/relationships/hyperlink" Target="AcademyBugs_test_documentation.xlsx" TargetMode="External"/><Relationship Id="rId5" Type="http://schemas.openxmlformats.org/officeDocument/2006/relationships/hyperlink" Target="AcademyBugs_test_documentation.xlsx" TargetMode="External"/><Relationship Id="rId15" Type="http://schemas.openxmlformats.org/officeDocument/2006/relationships/hyperlink" Target="AcademyBugs_test_documentation.xlsx" TargetMode="External"/><Relationship Id="rId10" Type="http://schemas.openxmlformats.org/officeDocument/2006/relationships/hyperlink" Target="AcademyBugs_test_documentation.xlsx" TargetMode="External"/><Relationship Id="rId4" Type="http://schemas.openxmlformats.org/officeDocument/2006/relationships/hyperlink" Target="AcademyBugs_test_documentation.xlsx" TargetMode="External"/><Relationship Id="rId9" Type="http://schemas.openxmlformats.org/officeDocument/2006/relationships/hyperlink" Target="AcademyBugs_test_documentation.xlsx" TargetMode="External"/><Relationship Id="rId14" Type="http://schemas.openxmlformats.org/officeDocument/2006/relationships/hyperlink" Target="AcademyBugs_test_documentation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AcademyBugs_test_documentation.xlsx" TargetMode="External"/><Relationship Id="rId13" Type="http://schemas.openxmlformats.org/officeDocument/2006/relationships/hyperlink" Target="AcademyBugs_test_documentation.xlsx" TargetMode="External"/><Relationship Id="rId3" Type="http://schemas.openxmlformats.org/officeDocument/2006/relationships/hyperlink" Target="AcademyBugs_test_documentation.xlsx" TargetMode="External"/><Relationship Id="rId7" Type="http://schemas.openxmlformats.org/officeDocument/2006/relationships/hyperlink" Target="AcademyBugs_test_documentation.xlsx" TargetMode="External"/><Relationship Id="rId12" Type="http://schemas.openxmlformats.org/officeDocument/2006/relationships/hyperlink" Target="AcademyBugs_test_documentation.xlsx" TargetMode="External"/><Relationship Id="rId2" Type="http://schemas.openxmlformats.org/officeDocument/2006/relationships/hyperlink" Target="AcademyBugs_test_documentation.xlsx" TargetMode="External"/><Relationship Id="rId1" Type="http://schemas.openxmlformats.org/officeDocument/2006/relationships/hyperlink" Target="AcademyBugs_test_documentation.xlsx" TargetMode="External"/><Relationship Id="rId6" Type="http://schemas.openxmlformats.org/officeDocument/2006/relationships/hyperlink" Target="AcademyBugs_test_documentation.xlsx" TargetMode="External"/><Relationship Id="rId11" Type="http://schemas.openxmlformats.org/officeDocument/2006/relationships/hyperlink" Target="AcademyBugs_test_documentation.xlsx" TargetMode="External"/><Relationship Id="rId5" Type="http://schemas.openxmlformats.org/officeDocument/2006/relationships/hyperlink" Target="AcademyBugs_test_documentation.xlsx" TargetMode="External"/><Relationship Id="rId10" Type="http://schemas.openxmlformats.org/officeDocument/2006/relationships/hyperlink" Target="AcademyBugs_test_documentation.xlsx" TargetMode="External"/><Relationship Id="rId4" Type="http://schemas.openxmlformats.org/officeDocument/2006/relationships/hyperlink" Target="AcademyBugs_test_documentation.xlsx" TargetMode="External"/><Relationship Id="rId9" Type="http://schemas.openxmlformats.org/officeDocument/2006/relationships/hyperlink" Target="AcademyBugs_test_documentation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9" customWidth="1"/>
    <col min="2" max="2" width="15" customWidth="1"/>
    <col min="3" max="3" width="32" customWidth="1"/>
    <col min="4" max="4" width="11" customWidth="1"/>
    <col min="5" max="5" width="36" customWidth="1"/>
    <col min="6" max="6" width="7" customWidth="1"/>
    <col min="7" max="8" width="42" customWidth="1"/>
    <col min="9" max="9" width="38" customWidth="1"/>
    <col min="10" max="11" width="12" customWidth="1"/>
    <col min="12" max="12" width="10" customWidth="1"/>
  </cols>
  <sheetData>
    <row r="1" spans="1:12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2" x14ac:dyDescent="0.2">
      <c r="A2" s="2" t="s">
        <v>12</v>
      </c>
      <c r="B2" s="3" t="s">
        <v>13</v>
      </c>
      <c r="C2" s="3" t="s">
        <v>14</v>
      </c>
      <c r="D2" s="4" t="s">
        <v>15</v>
      </c>
      <c r="E2" s="3" t="s">
        <v>16</v>
      </c>
      <c r="F2" s="4">
        <v>1</v>
      </c>
      <c r="G2" s="3" t="s">
        <v>17</v>
      </c>
      <c r="H2" s="3" t="s">
        <v>18</v>
      </c>
      <c r="I2" s="3" t="s">
        <v>19</v>
      </c>
      <c r="J2" s="5" t="s">
        <v>20</v>
      </c>
      <c r="K2" s="5" t="s">
        <v>20</v>
      </c>
      <c r="L2" s="6" t="s">
        <v>21</v>
      </c>
    </row>
    <row r="3" spans="1:12" ht="28" x14ac:dyDescent="0.2">
      <c r="A3" s="2" t="s">
        <v>22</v>
      </c>
      <c r="B3" s="3" t="s">
        <v>13</v>
      </c>
      <c r="C3" s="3" t="s">
        <v>23</v>
      </c>
      <c r="D3" s="4" t="s">
        <v>24</v>
      </c>
      <c r="E3" s="3" t="s">
        <v>16</v>
      </c>
      <c r="F3" s="4">
        <v>1</v>
      </c>
      <c r="G3" s="3" t="s">
        <v>25</v>
      </c>
      <c r="H3" s="3" t="s">
        <v>26</v>
      </c>
      <c r="I3" s="3"/>
      <c r="J3" s="7" t="s">
        <v>27</v>
      </c>
      <c r="K3" s="7" t="s">
        <v>27</v>
      </c>
      <c r="L3" s="4"/>
    </row>
    <row r="4" spans="1:12" ht="42" x14ac:dyDescent="0.2">
      <c r="A4" s="2" t="s">
        <v>28</v>
      </c>
      <c r="B4" s="3" t="s">
        <v>29</v>
      </c>
      <c r="C4" s="3" t="s">
        <v>30</v>
      </c>
      <c r="D4" s="4" t="s">
        <v>15</v>
      </c>
      <c r="E4" s="3" t="s">
        <v>31</v>
      </c>
      <c r="F4" s="4">
        <v>1</v>
      </c>
      <c r="G4" s="3" t="s">
        <v>32</v>
      </c>
      <c r="H4" s="3" t="s">
        <v>33</v>
      </c>
      <c r="I4" s="3" t="s">
        <v>34</v>
      </c>
      <c r="J4" s="5" t="s">
        <v>20</v>
      </c>
      <c r="K4" s="5" t="s">
        <v>20</v>
      </c>
      <c r="L4" s="6" t="s">
        <v>35</v>
      </c>
    </row>
    <row r="5" spans="1:12" ht="42" x14ac:dyDescent="0.2">
      <c r="A5" s="2" t="s">
        <v>36</v>
      </c>
      <c r="B5" s="3" t="s">
        <v>29</v>
      </c>
      <c r="C5" s="3" t="s">
        <v>37</v>
      </c>
      <c r="D5" s="4" t="s">
        <v>38</v>
      </c>
      <c r="E5" s="3" t="s">
        <v>31</v>
      </c>
      <c r="F5" s="4">
        <v>1</v>
      </c>
      <c r="G5" s="3" t="s">
        <v>39</v>
      </c>
      <c r="H5" s="3" t="s">
        <v>40</v>
      </c>
      <c r="I5" s="3"/>
      <c r="J5" s="7" t="s">
        <v>27</v>
      </c>
      <c r="K5" s="7" t="s">
        <v>27</v>
      </c>
      <c r="L5" s="4"/>
    </row>
    <row r="6" spans="1:12" ht="42" x14ac:dyDescent="0.2">
      <c r="A6" s="2" t="s">
        <v>41</v>
      </c>
      <c r="B6" s="3" t="s">
        <v>29</v>
      </c>
      <c r="C6" s="3" t="s">
        <v>42</v>
      </c>
      <c r="D6" s="4" t="s">
        <v>38</v>
      </c>
      <c r="E6" s="3" t="s">
        <v>31</v>
      </c>
      <c r="F6" s="4">
        <v>1</v>
      </c>
      <c r="G6" s="3" t="s">
        <v>43</v>
      </c>
      <c r="H6" s="3" t="s">
        <v>44</v>
      </c>
      <c r="I6" s="3" t="s">
        <v>45</v>
      </c>
      <c r="J6" s="5" t="s">
        <v>20</v>
      </c>
      <c r="K6" s="5" t="s">
        <v>20</v>
      </c>
      <c r="L6" s="6" t="s">
        <v>46</v>
      </c>
    </row>
    <row r="7" spans="1:12" ht="42" x14ac:dyDescent="0.2">
      <c r="A7" s="2" t="s">
        <v>47</v>
      </c>
      <c r="B7" s="3" t="s">
        <v>48</v>
      </c>
      <c r="C7" s="3" t="s">
        <v>49</v>
      </c>
      <c r="D7" s="4" t="s">
        <v>24</v>
      </c>
      <c r="E7" s="3" t="s">
        <v>50</v>
      </c>
      <c r="F7" s="4">
        <v>1</v>
      </c>
      <c r="G7" s="3" t="s">
        <v>51</v>
      </c>
      <c r="H7" s="3" t="s">
        <v>52</v>
      </c>
      <c r="I7" s="3"/>
      <c r="J7" s="7" t="s">
        <v>27</v>
      </c>
      <c r="K7" s="7" t="s">
        <v>27</v>
      </c>
      <c r="L7" s="4"/>
    </row>
    <row r="8" spans="1:12" ht="28" x14ac:dyDescent="0.2">
      <c r="A8" s="8" t="s">
        <v>47</v>
      </c>
      <c r="B8" s="3"/>
      <c r="C8" s="3"/>
      <c r="D8" s="4"/>
      <c r="E8" s="3"/>
      <c r="F8" s="4">
        <v>2</v>
      </c>
      <c r="G8" s="3" t="s">
        <v>53</v>
      </c>
      <c r="H8" s="3" t="s">
        <v>54</v>
      </c>
      <c r="I8" s="3"/>
      <c r="J8" s="7" t="s">
        <v>27</v>
      </c>
      <c r="K8" s="4"/>
      <c r="L8" s="4"/>
    </row>
    <row r="9" spans="1:12" ht="56" x14ac:dyDescent="0.2">
      <c r="A9" s="2" t="s">
        <v>55</v>
      </c>
      <c r="B9" s="3" t="s">
        <v>48</v>
      </c>
      <c r="C9" s="3" t="s">
        <v>56</v>
      </c>
      <c r="D9" s="4" t="s">
        <v>24</v>
      </c>
      <c r="E9" s="3" t="s">
        <v>57</v>
      </c>
      <c r="F9" s="4">
        <v>1</v>
      </c>
      <c r="G9" s="3" t="s">
        <v>58</v>
      </c>
      <c r="H9" s="3" t="s">
        <v>59</v>
      </c>
      <c r="I9" s="3"/>
      <c r="J9" s="7" t="s">
        <v>27</v>
      </c>
      <c r="K9" s="5" t="s">
        <v>20</v>
      </c>
      <c r="L9" s="6" t="s">
        <v>60</v>
      </c>
    </row>
    <row r="10" spans="1:12" ht="28" x14ac:dyDescent="0.2">
      <c r="A10" s="8" t="s">
        <v>55</v>
      </c>
      <c r="B10" s="3"/>
      <c r="C10" s="3"/>
      <c r="D10" s="4"/>
      <c r="E10" s="3"/>
      <c r="F10" s="4">
        <v>2</v>
      </c>
      <c r="G10" s="3" t="s">
        <v>61</v>
      </c>
      <c r="H10" s="3" t="s">
        <v>62</v>
      </c>
      <c r="I10" s="3" t="s">
        <v>63</v>
      </c>
      <c r="J10" s="5" t="s">
        <v>20</v>
      </c>
      <c r="K10" s="4"/>
      <c r="L10" s="4"/>
    </row>
    <row r="11" spans="1:12" ht="42" x14ac:dyDescent="0.2">
      <c r="A11" s="2" t="s">
        <v>64</v>
      </c>
      <c r="B11" s="3" t="s">
        <v>48</v>
      </c>
      <c r="C11" s="3" t="s">
        <v>65</v>
      </c>
      <c r="D11" s="4" t="s">
        <v>24</v>
      </c>
      <c r="E11" s="3" t="s">
        <v>66</v>
      </c>
      <c r="F11" s="4">
        <v>1</v>
      </c>
      <c r="G11" s="3" t="s">
        <v>67</v>
      </c>
      <c r="H11" s="3" t="s">
        <v>68</v>
      </c>
      <c r="I11" s="3"/>
      <c r="J11" s="7" t="s">
        <v>27</v>
      </c>
      <c r="K11" s="7" t="s">
        <v>27</v>
      </c>
      <c r="L11" s="4"/>
    </row>
    <row r="12" spans="1:12" ht="42" x14ac:dyDescent="0.2">
      <c r="A12" s="2" t="s">
        <v>69</v>
      </c>
      <c r="B12" s="3" t="s">
        <v>48</v>
      </c>
      <c r="C12" s="3" t="s">
        <v>70</v>
      </c>
      <c r="D12" s="4" t="s">
        <v>38</v>
      </c>
      <c r="E12" s="3" t="s">
        <v>66</v>
      </c>
      <c r="F12" s="4">
        <v>1</v>
      </c>
      <c r="G12" s="3" t="s">
        <v>71</v>
      </c>
      <c r="H12" s="3" t="s">
        <v>72</v>
      </c>
      <c r="I12" s="3" t="s">
        <v>73</v>
      </c>
      <c r="J12" s="5" t="s">
        <v>20</v>
      </c>
      <c r="K12" s="5" t="s">
        <v>20</v>
      </c>
      <c r="L12" s="6" t="s">
        <v>74</v>
      </c>
    </row>
    <row r="13" spans="1:12" ht="56" x14ac:dyDescent="0.2">
      <c r="A13" s="2" t="s">
        <v>75</v>
      </c>
      <c r="B13" s="3" t="s">
        <v>48</v>
      </c>
      <c r="C13" s="3" t="s">
        <v>76</v>
      </c>
      <c r="D13" s="4" t="s">
        <v>15</v>
      </c>
      <c r="E13" s="3" t="s">
        <v>57</v>
      </c>
      <c r="F13" s="4">
        <v>1</v>
      </c>
      <c r="G13" s="3" t="s">
        <v>77</v>
      </c>
      <c r="H13" s="3" t="s">
        <v>78</v>
      </c>
      <c r="I13" s="3"/>
      <c r="J13" s="7" t="s">
        <v>27</v>
      </c>
      <c r="K13" s="5" t="s">
        <v>20</v>
      </c>
      <c r="L13" s="6" t="s">
        <v>60</v>
      </c>
    </row>
    <row r="14" spans="1:12" ht="42" x14ac:dyDescent="0.2">
      <c r="A14" s="8" t="s">
        <v>75</v>
      </c>
      <c r="B14" s="3"/>
      <c r="C14" s="3"/>
      <c r="D14" s="4"/>
      <c r="E14" s="3"/>
      <c r="F14" s="4">
        <v>2</v>
      </c>
      <c r="G14" s="3" t="s">
        <v>61</v>
      </c>
      <c r="H14" s="3" t="s">
        <v>79</v>
      </c>
      <c r="I14" s="3" t="s">
        <v>63</v>
      </c>
      <c r="J14" s="5" t="s">
        <v>20</v>
      </c>
      <c r="K14" s="4"/>
      <c r="L14" s="4"/>
    </row>
    <row r="15" spans="1:12" ht="56" x14ac:dyDescent="0.2">
      <c r="A15" s="2" t="s">
        <v>80</v>
      </c>
      <c r="B15" s="3" t="s">
        <v>48</v>
      </c>
      <c r="C15" s="3" t="s">
        <v>81</v>
      </c>
      <c r="D15" s="4" t="s">
        <v>38</v>
      </c>
      <c r="E15" s="3" t="s">
        <v>57</v>
      </c>
      <c r="F15" s="4">
        <v>1</v>
      </c>
      <c r="G15" s="3" t="s">
        <v>82</v>
      </c>
      <c r="H15" s="3" t="s">
        <v>78</v>
      </c>
      <c r="I15" s="3"/>
      <c r="J15" s="7" t="s">
        <v>27</v>
      </c>
      <c r="K15" s="7" t="s">
        <v>27</v>
      </c>
      <c r="L15" s="4"/>
    </row>
    <row r="16" spans="1:12" ht="28" x14ac:dyDescent="0.2">
      <c r="A16" s="8" t="s">
        <v>80</v>
      </c>
      <c r="B16" s="3"/>
      <c r="C16" s="3"/>
      <c r="D16" s="4"/>
      <c r="E16" s="3"/>
      <c r="F16" s="4">
        <v>2</v>
      </c>
      <c r="G16" s="3" t="s">
        <v>61</v>
      </c>
      <c r="H16" s="3" t="s">
        <v>83</v>
      </c>
      <c r="I16" s="3"/>
      <c r="J16" s="7" t="s">
        <v>27</v>
      </c>
      <c r="K16" s="4"/>
      <c r="L16" s="4"/>
    </row>
    <row r="17" spans="1:12" ht="42" x14ac:dyDescent="0.2">
      <c r="A17" s="2" t="s">
        <v>84</v>
      </c>
      <c r="B17" s="3" t="s">
        <v>85</v>
      </c>
      <c r="C17" s="3" t="s">
        <v>86</v>
      </c>
      <c r="D17" s="4" t="s">
        <v>38</v>
      </c>
      <c r="E17" s="3" t="s">
        <v>31</v>
      </c>
      <c r="F17" s="4">
        <v>1</v>
      </c>
      <c r="G17" s="3" t="s">
        <v>87</v>
      </c>
      <c r="H17" s="3" t="s">
        <v>88</v>
      </c>
      <c r="I17" s="3" t="s">
        <v>89</v>
      </c>
      <c r="J17" s="5" t="s">
        <v>20</v>
      </c>
      <c r="K17" s="5" t="s">
        <v>20</v>
      </c>
      <c r="L17" s="6" t="s">
        <v>90</v>
      </c>
    </row>
    <row r="18" spans="1:12" ht="42" x14ac:dyDescent="0.2">
      <c r="A18" s="2" t="s">
        <v>91</v>
      </c>
      <c r="B18" s="3" t="s">
        <v>85</v>
      </c>
      <c r="C18" s="3" t="s">
        <v>92</v>
      </c>
      <c r="D18" s="4" t="s">
        <v>38</v>
      </c>
      <c r="E18" s="3" t="s">
        <v>31</v>
      </c>
      <c r="F18" s="4">
        <v>1</v>
      </c>
      <c r="G18" s="3" t="s">
        <v>93</v>
      </c>
      <c r="H18" s="3" t="s">
        <v>94</v>
      </c>
      <c r="I18" s="3"/>
      <c r="J18" s="7" t="s">
        <v>27</v>
      </c>
      <c r="K18" s="5" t="s">
        <v>20</v>
      </c>
      <c r="L18" s="6" t="s">
        <v>95</v>
      </c>
    </row>
    <row r="19" spans="1:12" ht="28" x14ac:dyDescent="0.2">
      <c r="A19" s="8" t="s">
        <v>91</v>
      </c>
      <c r="B19" s="3"/>
      <c r="C19" s="3"/>
      <c r="D19" s="4"/>
      <c r="E19" s="3"/>
      <c r="F19" s="4">
        <v>2</v>
      </c>
      <c r="G19" s="3" t="s">
        <v>96</v>
      </c>
      <c r="H19" s="3" t="s">
        <v>97</v>
      </c>
      <c r="I19" s="3" t="s">
        <v>98</v>
      </c>
      <c r="J19" s="5" t="s">
        <v>20</v>
      </c>
      <c r="K19" s="4"/>
      <c r="L19" s="4"/>
    </row>
    <row r="20" spans="1:12" ht="56" x14ac:dyDescent="0.2">
      <c r="A20" s="2" t="s">
        <v>99</v>
      </c>
      <c r="B20" s="3" t="s">
        <v>85</v>
      </c>
      <c r="C20" s="3" t="s">
        <v>100</v>
      </c>
      <c r="D20" s="4" t="s">
        <v>38</v>
      </c>
      <c r="E20" s="3" t="s">
        <v>101</v>
      </c>
      <c r="F20" s="4">
        <v>1</v>
      </c>
      <c r="G20" s="3" t="s">
        <v>102</v>
      </c>
      <c r="H20" s="3" t="s">
        <v>103</v>
      </c>
      <c r="I20" s="3" t="s">
        <v>104</v>
      </c>
      <c r="J20" s="5" t="s">
        <v>20</v>
      </c>
      <c r="K20" s="5" t="s">
        <v>20</v>
      </c>
      <c r="L20" s="6" t="s">
        <v>105</v>
      </c>
    </row>
    <row r="21" spans="1:12" ht="56" x14ac:dyDescent="0.2">
      <c r="A21" s="2" t="s">
        <v>106</v>
      </c>
      <c r="B21" s="3" t="s">
        <v>107</v>
      </c>
      <c r="C21" s="3" t="s">
        <v>108</v>
      </c>
      <c r="D21" s="4" t="s">
        <v>24</v>
      </c>
      <c r="E21" s="3" t="s">
        <v>101</v>
      </c>
      <c r="F21" s="4">
        <v>1</v>
      </c>
      <c r="G21" s="3" t="s">
        <v>109</v>
      </c>
      <c r="H21" s="3" t="s">
        <v>110</v>
      </c>
      <c r="I21" s="3"/>
      <c r="J21" s="7" t="s">
        <v>27</v>
      </c>
      <c r="K21" s="7" t="s">
        <v>27</v>
      </c>
      <c r="L21" s="4"/>
    </row>
    <row r="22" spans="1:12" ht="42" x14ac:dyDescent="0.2">
      <c r="A22" s="8" t="s">
        <v>106</v>
      </c>
      <c r="B22" s="3"/>
      <c r="C22" s="3"/>
      <c r="D22" s="4"/>
      <c r="E22" s="3"/>
      <c r="F22" s="4">
        <v>2</v>
      </c>
      <c r="G22" s="3" t="s">
        <v>111</v>
      </c>
      <c r="H22" s="3" t="s">
        <v>112</v>
      </c>
      <c r="I22" s="3"/>
      <c r="J22" s="7" t="s">
        <v>27</v>
      </c>
      <c r="K22" s="4"/>
      <c r="L22" s="4"/>
    </row>
    <row r="23" spans="1:12" ht="56" x14ac:dyDescent="0.2">
      <c r="A23" s="2" t="s">
        <v>113</v>
      </c>
      <c r="B23" s="3" t="s">
        <v>114</v>
      </c>
      <c r="C23" s="3" t="s">
        <v>115</v>
      </c>
      <c r="D23" s="4" t="s">
        <v>24</v>
      </c>
      <c r="E23" s="3" t="s">
        <v>57</v>
      </c>
      <c r="F23" s="4">
        <v>1</v>
      </c>
      <c r="G23" s="3" t="s">
        <v>116</v>
      </c>
      <c r="H23" s="3" t="s">
        <v>117</v>
      </c>
      <c r="I23" s="3"/>
      <c r="J23" s="7" t="s">
        <v>27</v>
      </c>
      <c r="K23" s="7" t="s">
        <v>27</v>
      </c>
      <c r="L23" s="4"/>
    </row>
    <row r="24" spans="1:12" ht="56" x14ac:dyDescent="0.2">
      <c r="A24" s="8" t="s">
        <v>113</v>
      </c>
      <c r="B24" s="3"/>
      <c r="C24" s="3"/>
      <c r="D24" s="4"/>
      <c r="E24" s="3"/>
      <c r="F24" s="4">
        <v>2</v>
      </c>
      <c r="G24" s="3" t="s">
        <v>118</v>
      </c>
      <c r="H24" s="3" t="s">
        <v>119</v>
      </c>
      <c r="I24" s="3"/>
      <c r="J24" s="7" t="s">
        <v>27</v>
      </c>
      <c r="K24" s="4"/>
      <c r="L24" s="4"/>
    </row>
    <row r="25" spans="1:12" ht="28" x14ac:dyDescent="0.2">
      <c r="A25" s="8" t="s">
        <v>113</v>
      </c>
      <c r="B25" s="3"/>
      <c r="C25" s="3"/>
      <c r="D25" s="4"/>
      <c r="E25" s="3"/>
      <c r="F25" s="4">
        <v>3</v>
      </c>
      <c r="G25" s="3" t="s">
        <v>120</v>
      </c>
      <c r="H25" s="3" t="s">
        <v>121</v>
      </c>
      <c r="I25" s="3"/>
      <c r="J25" s="7" t="s">
        <v>27</v>
      </c>
      <c r="K25" s="4"/>
      <c r="L25" s="4"/>
    </row>
    <row r="26" spans="1:12" x14ac:dyDescent="0.2">
      <c r="A26" s="8" t="s">
        <v>113</v>
      </c>
      <c r="B26" s="3"/>
      <c r="C26" s="3"/>
      <c r="D26" s="4"/>
      <c r="E26" s="3"/>
      <c r="F26" s="4">
        <v>4</v>
      </c>
      <c r="G26" s="3" t="s">
        <v>122</v>
      </c>
      <c r="H26" s="3" t="s">
        <v>123</v>
      </c>
      <c r="I26" s="3"/>
      <c r="J26" s="7" t="s">
        <v>27</v>
      </c>
      <c r="K26" s="4"/>
      <c r="L26" s="4"/>
    </row>
    <row r="27" spans="1:12" ht="28" x14ac:dyDescent="0.2">
      <c r="A27" s="2" t="s">
        <v>124</v>
      </c>
      <c r="B27" s="3" t="s">
        <v>13</v>
      </c>
      <c r="C27" s="3" t="s">
        <v>125</v>
      </c>
      <c r="D27" s="4" t="s">
        <v>15</v>
      </c>
      <c r="E27" s="3" t="s">
        <v>16</v>
      </c>
      <c r="F27" s="4">
        <v>1</v>
      </c>
      <c r="G27" s="3" t="s">
        <v>126</v>
      </c>
      <c r="H27" s="3" t="s">
        <v>127</v>
      </c>
      <c r="I27" s="3"/>
      <c r="J27" s="7" t="s">
        <v>27</v>
      </c>
      <c r="K27" s="7" t="s">
        <v>27</v>
      </c>
      <c r="L27" s="4"/>
    </row>
    <row r="28" spans="1:12" ht="56" x14ac:dyDescent="0.2">
      <c r="A28" s="2" t="s">
        <v>128</v>
      </c>
      <c r="B28" s="3" t="s">
        <v>48</v>
      </c>
      <c r="C28" s="3" t="s">
        <v>129</v>
      </c>
      <c r="D28" s="4" t="s">
        <v>15</v>
      </c>
      <c r="E28" s="3" t="s">
        <v>57</v>
      </c>
      <c r="F28" s="4">
        <v>1</v>
      </c>
      <c r="G28" s="3" t="s">
        <v>130</v>
      </c>
      <c r="H28" s="3" t="s">
        <v>131</v>
      </c>
      <c r="I28" s="3"/>
      <c r="J28" s="7" t="s">
        <v>27</v>
      </c>
      <c r="K28" s="5" t="s">
        <v>20</v>
      </c>
      <c r="L28" s="6" t="s">
        <v>132</v>
      </c>
    </row>
    <row r="29" spans="1:12" ht="28" x14ac:dyDescent="0.2">
      <c r="A29" s="8" t="s">
        <v>128</v>
      </c>
      <c r="B29" s="3"/>
      <c r="C29" s="3"/>
      <c r="D29" s="4"/>
      <c r="E29" s="3"/>
      <c r="F29" s="4">
        <v>2</v>
      </c>
      <c r="G29" s="3" t="s">
        <v>61</v>
      </c>
      <c r="H29" s="3" t="s">
        <v>133</v>
      </c>
      <c r="I29" s="3" t="s">
        <v>134</v>
      </c>
      <c r="J29" s="5" t="s">
        <v>20</v>
      </c>
      <c r="K29" s="4"/>
      <c r="L29" s="4"/>
    </row>
    <row r="30" spans="1:12" ht="42" x14ac:dyDescent="0.2">
      <c r="A30" s="2" t="s">
        <v>135</v>
      </c>
      <c r="B30" s="3" t="s">
        <v>13</v>
      </c>
      <c r="C30" s="3" t="s">
        <v>136</v>
      </c>
      <c r="D30" s="4" t="s">
        <v>15</v>
      </c>
      <c r="E30" s="3" t="s">
        <v>16</v>
      </c>
      <c r="F30" s="4">
        <v>1</v>
      </c>
      <c r="G30" s="3" t="s">
        <v>137</v>
      </c>
      <c r="H30" s="3" t="s">
        <v>138</v>
      </c>
      <c r="I30" s="3" t="s">
        <v>34</v>
      </c>
      <c r="J30" s="5" t="s">
        <v>20</v>
      </c>
      <c r="K30" s="5" t="s">
        <v>20</v>
      </c>
      <c r="L30" s="6" t="s">
        <v>139</v>
      </c>
    </row>
    <row r="31" spans="1:12" ht="70" x14ac:dyDescent="0.2">
      <c r="A31" s="2" t="s">
        <v>140</v>
      </c>
      <c r="B31" s="3" t="s">
        <v>114</v>
      </c>
      <c r="C31" s="3" t="s">
        <v>141</v>
      </c>
      <c r="D31" s="4" t="s">
        <v>15</v>
      </c>
      <c r="E31" s="3" t="s">
        <v>142</v>
      </c>
      <c r="F31" s="4">
        <v>1</v>
      </c>
      <c r="G31" s="3" t="s">
        <v>143</v>
      </c>
      <c r="H31" s="3" t="s">
        <v>144</v>
      </c>
      <c r="I31" s="3"/>
      <c r="J31" s="7" t="s">
        <v>27</v>
      </c>
      <c r="K31" s="5" t="s">
        <v>20</v>
      </c>
      <c r="L31" s="6" t="s">
        <v>145</v>
      </c>
    </row>
    <row r="32" spans="1:12" ht="28" x14ac:dyDescent="0.2">
      <c r="A32" s="8" t="s">
        <v>140</v>
      </c>
      <c r="B32" s="3"/>
      <c r="C32" s="3"/>
      <c r="D32" s="4"/>
      <c r="E32" s="3"/>
      <c r="F32" s="4">
        <v>2</v>
      </c>
      <c r="G32" s="3" t="s">
        <v>146</v>
      </c>
      <c r="H32" s="3" t="s">
        <v>147</v>
      </c>
      <c r="I32" s="3" t="s">
        <v>148</v>
      </c>
      <c r="J32" s="5" t="s">
        <v>20</v>
      </c>
      <c r="K32" s="4"/>
      <c r="L32" s="4"/>
    </row>
    <row r="33" spans="1:12" ht="70" x14ac:dyDescent="0.2">
      <c r="A33" s="2" t="s">
        <v>149</v>
      </c>
      <c r="B33" s="3" t="s">
        <v>114</v>
      </c>
      <c r="C33" s="3" t="s">
        <v>150</v>
      </c>
      <c r="D33" s="4" t="s">
        <v>38</v>
      </c>
      <c r="E33" s="3" t="s">
        <v>142</v>
      </c>
      <c r="F33" s="4">
        <v>1</v>
      </c>
      <c r="G33" s="3" t="s">
        <v>151</v>
      </c>
      <c r="H33" s="3" t="s">
        <v>144</v>
      </c>
      <c r="I33" s="3"/>
      <c r="J33" s="7" t="s">
        <v>27</v>
      </c>
      <c r="K33" s="5" t="s">
        <v>20</v>
      </c>
      <c r="L33" s="6" t="s">
        <v>152</v>
      </c>
    </row>
    <row r="34" spans="1:12" ht="28" x14ac:dyDescent="0.2">
      <c r="A34" s="8" t="s">
        <v>149</v>
      </c>
      <c r="B34" s="3"/>
      <c r="C34" s="3"/>
      <c r="D34" s="4"/>
      <c r="E34" s="3"/>
      <c r="F34" s="4">
        <v>2</v>
      </c>
      <c r="G34" s="3" t="s">
        <v>146</v>
      </c>
      <c r="H34" s="3" t="s">
        <v>153</v>
      </c>
      <c r="I34" s="3" t="s">
        <v>154</v>
      </c>
      <c r="J34" s="5" t="s">
        <v>20</v>
      </c>
      <c r="K34" s="4"/>
      <c r="L34" s="4"/>
    </row>
    <row r="35" spans="1:12" ht="42" x14ac:dyDescent="0.2">
      <c r="A35" s="2" t="s">
        <v>155</v>
      </c>
      <c r="B35" s="3" t="s">
        <v>29</v>
      </c>
      <c r="C35" s="3" t="s">
        <v>156</v>
      </c>
      <c r="D35" s="4" t="s">
        <v>15</v>
      </c>
      <c r="E35" s="3" t="s">
        <v>157</v>
      </c>
      <c r="F35" s="4">
        <v>1</v>
      </c>
      <c r="G35" s="3" t="s">
        <v>158</v>
      </c>
      <c r="H35" s="3" t="s">
        <v>159</v>
      </c>
      <c r="I35" s="3"/>
      <c r="J35" s="7" t="s">
        <v>27</v>
      </c>
      <c r="K35" s="5" t="s">
        <v>20</v>
      </c>
      <c r="L35" s="6" t="s">
        <v>160</v>
      </c>
    </row>
    <row r="36" spans="1:12" ht="28" x14ac:dyDescent="0.2">
      <c r="A36" s="8" t="s">
        <v>155</v>
      </c>
      <c r="B36" s="3"/>
      <c r="C36" s="3"/>
      <c r="D36" s="4"/>
      <c r="E36" s="3"/>
      <c r="F36" s="4">
        <v>2</v>
      </c>
      <c r="G36" s="3" t="s">
        <v>161</v>
      </c>
      <c r="H36" s="3" t="s">
        <v>144</v>
      </c>
      <c r="I36" s="3"/>
      <c r="J36" s="7" t="s">
        <v>27</v>
      </c>
      <c r="K36" s="4"/>
      <c r="L36" s="4"/>
    </row>
    <row r="37" spans="1:12" ht="28" x14ac:dyDescent="0.2">
      <c r="A37" s="8" t="s">
        <v>155</v>
      </c>
      <c r="B37" s="3"/>
      <c r="C37" s="3"/>
      <c r="D37" s="4"/>
      <c r="E37" s="3"/>
      <c r="F37" s="4">
        <v>3</v>
      </c>
      <c r="G37" s="3" t="s">
        <v>162</v>
      </c>
      <c r="H37" s="3" t="s">
        <v>163</v>
      </c>
      <c r="I37" s="3" t="s">
        <v>34</v>
      </c>
      <c r="J37" s="5" t="s">
        <v>20</v>
      </c>
      <c r="K37" s="4"/>
      <c r="L37" s="4"/>
    </row>
    <row r="38" spans="1:12" ht="42" x14ac:dyDescent="0.2">
      <c r="A38" s="2" t="s">
        <v>164</v>
      </c>
      <c r="B38" s="3" t="s">
        <v>29</v>
      </c>
      <c r="C38" s="3" t="s">
        <v>165</v>
      </c>
      <c r="D38" s="4" t="s">
        <v>15</v>
      </c>
      <c r="E38" s="3" t="s">
        <v>157</v>
      </c>
      <c r="F38" s="4">
        <v>1</v>
      </c>
      <c r="G38" s="3" t="s">
        <v>158</v>
      </c>
      <c r="H38" s="3" t="s">
        <v>159</v>
      </c>
      <c r="I38" s="3"/>
      <c r="J38" s="7" t="s">
        <v>27</v>
      </c>
      <c r="K38" s="9" t="s">
        <v>166</v>
      </c>
      <c r="L38" s="6" t="s">
        <v>160</v>
      </c>
    </row>
    <row r="39" spans="1:12" ht="28" x14ac:dyDescent="0.2">
      <c r="A39" s="8" t="s">
        <v>164</v>
      </c>
      <c r="B39" s="3"/>
      <c r="C39" s="3"/>
      <c r="D39" s="4"/>
      <c r="E39" s="3"/>
      <c r="F39" s="4">
        <v>2</v>
      </c>
      <c r="G39" s="3" t="s">
        <v>167</v>
      </c>
      <c r="H39" s="3" t="s">
        <v>144</v>
      </c>
      <c r="I39" s="3"/>
      <c r="J39" s="7" t="s">
        <v>27</v>
      </c>
      <c r="K39" s="4"/>
      <c r="L39" s="4"/>
    </row>
    <row r="40" spans="1:12" ht="28" x14ac:dyDescent="0.2">
      <c r="A40" s="8" t="s">
        <v>164</v>
      </c>
      <c r="B40" s="3"/>
      <c r="C40" s="3"/>
      <c r="D40" s="4"/>
      <c r="E40" s="3"/>
      <c r="F40" s="4">
        <v>3</v>
      </c>
      <c r="G40" s="3" t="s">
        <v>162</v>
      </c>
      <c r="H40" s="3" t="s">
        <v>168</v>
      </c>
      <c r="I40" s="3" t="s">
        <v>169</v>
      </c>
      <c r="J40" s="9" t="s">
        <v>166</v>
      </c>
      <c r="K40" s="4"/>
      <c r="L40" s="4"/>
    </row>
  </sheetData>
  <autoFilter ref="A1:L40" xr:uid="{00000000-0009-0000-0000-000000000000}"/>
  <conditionalFormatting sqref="J2:K500">
    <cfRule type="expression" dxfId="9" priority="2">
      <formula>J2="Passed"</formula>
    </cfRule>
    <cfRule type="expression" dxfId="8" priority="3">
      <formula>J2="Failed"</formula>
    </cfRule>
    <cfRule type="expression" dxfId="7" priority="4">
      <formula>J2="Blocked"</formula>
    </cfRule>
    <cfRule type="expression" dxfId="6" priority="5">
      <formula>J2="Skipped"</formula>
    </cfRule>
    <cfRule type="expression" dxfId="5" priority="6">
      <formula>J2="Not run"</formula>
    </cfRule>
  </conditionalFormatting>
  <dataValidations count="2">
    <dataValidation type="list" allowBlank="1" sqref="J2:K500" xr:uid="{00000000-0002-0000-0000-000000000000}">
      <formula1>"Passed,Failed,Blocked,Skipped,Not run"</formula1>
      <formula2>0</formula2>
    </dataValidation>
    <dataValidation type="list" allowBlank="1" sqref="D2:D500" xr:uid="{00000000-0002-0000-0000-000001000000}">
      <formula1>"High,Medium,Low"</formula1>
      <formula2>0</formula2>
    </dataValidation>
  </dataValidations>
  <hyperlinks>
    <hyperlink ref="L2" r:id="rId1" location="'Баг-репорты'!A2" xr:uid="{00000000-0004-0000-0000-000000000000}"/>
    <hyperlink ref="L4" r:id="rId2" location="'Баг-репорты'!A3" xr:uid="{00000000-0004-0000-0000-000001000000}"/>
    <hyperlink ref="L6" r:id="rId3" location="'Баг-репорты'!A4" xr:uid="{00000000-0004-0000-0000-000002000000}"/>
    <hyperlink ref="L9" r:id="rId4" location="'Баг-репорты'!A5" xr:uid="{00000000-0004-0000-0000-000003000000}"/>
    <hyperlink ref="L12" r:id="rId5" location="'Баг-репорты'!A6" xr:uid="{00000000-0004-0000-0000-000004000000}"/>
    <hyperlink ref="L13" r:id="rId6" location="'Баг-репорты'!A5" xr:uid="{00000000-0004-0000-0000-000005000000}"/>
    <hyperlink ref="L17" r:id="rId7" location="'Баг-репорты'!A7" xr:uid="{00000000-0004-0000-0000-000006000000}"/>
    <hyperlink ref="L18" r:id="rId8" location="'Баг-репорты'!A8" xr:uid="{00000000-0004-0000-0000-000007000000}"/>
    <hyperlink ref="L20" r:id="rId9" location="'Баг-репорты'!A9" xr:uid="{00000000-0004-0000-0000-000008000000}"/>
    <hyperlink ref="L28" r:id="rId10" location="'Баг-репорты'!A10" xr:uid="{00000000-0004-0000-0000-000009000000}"/>
    <hyperlink ref="L30" r:id="rId11" location="'Баг-репорты'!A14" xr:uid="{00000000-0004-0000-0000-00000A000000}"/>
    <hyperlink ref="L31" r:id="rId12" location="'Баг-репорты'!A11" xr:uid="{00000000-0004-0000-0000-00000B000000}"/>
    <hyperlink ref="L33" r:id="rId13" location="'Баг-репорты'!A12" xr:uid="{00000000-0004-0000-0000-00000C000000}"/>
    <hyperlink ref="L35" r:id="rId14" location="'Баг-репорты'!A13" xr:uid="{00000000-0004-0000-0000-00000D000000}"/>
    <hyperlink ref="L38" r:id="rId15" location="'Баг-репорты'!A13" xr:uid="{00000000-0004-0000-0000-00000E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4"/>
  <sheetViews>
    <sheetView topLeftCell="C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40" customWidth="1"/>
    <col min="3" max="3" width="13" customWidth="1"/>
    <col min="4" max="4" width="11" customWidth="1"/>
    <col min="5" max="6" width="10" customWidth="1"/>
    <col min="7" max="7" width="20" customWidth="1"/>
    <col min="8" max="8" width="34" customWidth="1"/>
    <col min="9" max="9" width="42" customWidth="1"/>
    <col min="10" max="11" width="32" customWidth="1"/>
    <col min="12" max="12" width="11" customWidth="1"/>
    <col min="13" max="13" width="30" customWidth="1"/>
  </cols>
  <sheetData>
    <row r="1" spans="1:13" ht="31.5" customHeight="1" x14ac:dyDescent="0.2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4</v>
      </c>
      <c r="I1" s="1" t="s">
        <v>176</v>
      </c>
      <c r="J1" s="1" t="s">
        <v>8</v>
      </c>
      <c r="K1" s="1" t="s">
        <v>7</v>
      </c>
      <c r="L1" s="1" t="s">
        <v>177</v>
      </c>
      <c r="M1" s="1" t="s">
        <v>178</v>
      </c>
    </row>
    <row r="2" spans="1:13" ht="42" x14ac:dyDescent="0.2">
      <c r="A2" s="2" t="s">
        <v>21</v>
      </c>
      <c r="B2" s="3" t="s">
        <v>179</v>
      </c>
      <c r="C2" s="4" t="s">
        <v>180</v>
      </c>
      <c r="D2" s="4" t="s">
        <v>181</v>
      </c>
      <c r="E2" s="4" t="s">
        <v>38</v>
      </c>
      <c r="F2" s="4" t="s">
        <v>182</v>
      </c>
      <c r="G2" s="3" t="s">
        <v>183</v>
      </c>
      <c r="H2" s="3" t="s">
        <v>16</v>
      </c>
      <c r="I2" s="3" t="s">
        <v>184</v>
      </c>
      <c r="J2" s="3" t="s">
        <v>185</v>
      </c>
      <c r="K2" s="3" t="s">
        <v>186</v>
      </c>
      <c r="L2" s="6" t="s">
        <v>12</v>
      </c>
      <c r="M2" s="3"/>
    </row>
    <row r="3" spans="1:13" ht="56" x14ac:dyDescent="0.2">
      <c r="A3" s="2" t="s">
        <v>35</v>
      </c>
      <c r="B3" s="3" t="s">
        <v>187</v>
      </c>
      <c r="C3" s="4" t="s">
        <v>180</v>
      </c>
      <c r="D3" s="4" t="s">
        <v>188</v>
      </c>
      <c r="E3" s="4" t="s">
        <v>15</v>
      </c>
      <c r="F3" s="4" t="s">
        <v>182</v>
      </c>
      <c r="G3" s="3" t="s">
        <v>183</v>
      </c>
      <c r="H3" s="3" t="s">
        <v>31</v>
      </c>
      <c r="I3" s="3" t="s">
        <v>189</v>
      </c>
      <c r="J3" s="3" t="s">
        <v>190</v>
      </c>
      <c r="K3" s="3" t="s">
        <v>191</v>
      </c>
      <c r="L3" s="6" t="s">
        <v>28</v>
      </c>
      <c r="M3" s="3" t="s">
        <v>192</v>
      </c>
    </row>
    <row r="4" spans="1:13" ht="56" x14ac:dyDescent="0.2">
      <c r="A4" s="2" t="s">
        <v>46</v>
      </c>
      <c r="B4" s="3" t="s">
        <v>193</v>
      </c>
      <c r="C4" s="4" t="s">
        <v>180</v>
      </c>
      <c r="D4" s="4" t="s">
        <v>181</v>
      </c>
      <c r="E4" s="4" t="s">
        <v>15</v>
      </c>
      <c r="F4" s="4" t="s">
        <v>182</v>
      </c>
      <c r="G4" s="3" t="s">
        <v>183</v>
      </c>
      <c r="H4" s="3" t="s">
        <v>31</v>
      </c>
      <c r="I4" s="3" t="s">
        <v>194</v>
      </c>
      <c r="J4" s="3" t="s">
        <v>45</v>
      </c>
      <c r="K4" s="3" t="s">
        <v>44</v>
      </c>
      <c r="L4" s="6" t="s">
        <v>41</v>
      </c>
      <c r="M4" s="3"/>
    </row>
    <row r="5" spans="1:13" ht="56" x14ac:dyDescent="0.2">
      <c r="A5" s="2" t="s">
        <v>60</v>
      </c>
      <c r="B5" s="3" t="s">
        <v>195</v>
      </c>
      <c r="C5" s="4" t="s">
        <v>180</v>
      </c>
      <c r="D5" s="4" t="s">
        <v>196</v>
      </c>
      <c r="E5" s="4" t="s">
        <v>24</v>
      </c>
      <c r="F5" s="4" t="s">
        <v>182</v>
      </c>
      <c r="G5" s="3" t="s">
        <v>183</v>
      </c>
      <c r="H5" s="3" t="s">
        <v>57</v>
      </c>
      <c r="I5" s="3" t="s">
        <v>197</v>
      </c>
      <c r="J5" s="3" t="s">
        <v>198</v>
      </c>
      <c r="K5" s="3" t="s">
        <v>62</v>
      </c>
      <c r="L5" s="6" t="s">
        <v>55</v>
      </c>
      <c r="M5" s="3" t="s">
        <v>199</v>
      </c>
    </row>
    <row r="6" spans="1:13" ht="42" x14ac:dyDescent="0.2">
      <c r="A6" s="2" t="s">
        <v>74</v>
      </c>
      <c r="B6" s="3" t="s">
        <v>200</v>
      </c>
      <c r="C6" s="4" t="s">
        <v>180</v>
      </c>
      <c r="D6" s="4" t="s">
        <v>201</v>
      </c>
      <c r="E6" s="4" t="s">
        <v>38</v>
      </c>
      <c r="F6" s="4" t="s">
        <v>182</v>
      </c>
      <c r="G6" s="3" t="s">
        <v>183</v>
      </c>
      <c r="H6" s="3" t="s">
        <v>66</v>
      </c>
      <c r="I6" s="3" t="s">
        <v>202</v>
      </c>
      <c r="J6" s="3" t="s">
        <v>203</v>
      </c>
      <c r="K6" s="3" t="s">
        <v>204</v>
      </c>
      <c r="L6" s="6" t="s">
        <v>69</v>
      </c>
      <c r="M6" s="3"/>
    </row>
    <row r="7" spans="1:13" ht="56" x14ac:dyDescent="0.2">
      <c r="A7" s="2" t="s">
        <v>90</v>
      </c>
      <c r="B7" s="3" t="s">
        <v>205</v>
      </c>
      <c r="C7" s="4" t="s">
        <v>180</v>
      </c>
      <c r="D7" s="4" t="s">
        <v>181</v>
      </c>
      <c r="E7" s="4" t="s">
        <v>38</v>
      </c>
      <c r="F7" s="4" t="s">
        <v>182</v>
      </c>
      <c r="G7" s="3" t="s">
        <v>183</v>
      </c>
      <c r="H7" s="3" t="s">
        <v>31</v>
      </c>
      <c r="I7" s="3" t="s">
        <v>206</v>
      </c>
      <c r="J7" s="3" t="s">
        <v>207</v>
      </c>
      <c r="K7" s="3" t="s">
        <v>208</v>
      </c>
      <c r="L7" s="6" t="s">
        <v>84</v>
      </c>
      <c r="M7" s="3"/>
    </row>
    <row r="8" spans="1:13" ht="56" x14ac:dyDescent="0.2">
      <c r="A8" s="2" t="s">
        <v>95</v>
      </c>
      <c r="B8" s="3" t="s">
        <v>209</v>
      </c>
      <c r="C8" s="4" t="s">
        <v>180</v>
      </c>
      <c r="D8" s="4" t="s">
        <v>181</v>
      </c>
      <c r="E8" s="4" t="s">
        <v>38</v>
      </c>
      <c r="F8" s="4" t="s">
        <v>182</v>
      </c>
      <c r="G8" s="3" t="s">
        <v>183</v>
      </c>
      <c r="H8" s="3" t="s">
        <v>31</v>
      </c>
      <c r="I8" s="3" t="s">
        <v>210</v>
      </c>
      <c r="J8" s="3" t="s">
        <v>211</v>
      </c>
      <c r="K8" s="3" t="s">
        <v>212</v>
      </c>
      <c r="L8" s="6" t="s">
        <v>91</v>
      </c>
      <c r="M8" s="3"/>
    </row>
    <row r="9" spans="1:13" ht="56" x14ac:dyDescent="0.2">
      <c r="A9" s="2" t="s">
        <v>105</v>
      </c>
      <c r="B9" s="3" t="s">
        <v>213</v>
      </c>
      <c r="C9" s="4" t="s">
        <v>180</v>
      </c>
      <c r="D9" s="4" t="s">
        <v>181</v>
      </c>
      <c r="E9" s="4" t="s">
        <v>38</v>
      </c>
      <c r="F9" s="4" t="s">
        <v>182</v>
      </c>
      <c r="G9" s="3" t="s">
        <v>183</v>
      </c>
      <c r="H9" s="3" t="s">
        <v>101</v>
      </c>
      <c r="I9" s="3" t="s">
        <v>214</v>
      </c>
      <c r="J9" s="3" t="s">
        <v>215</v>
      </c>
      <c r="K9" s="3" t="s">
        <v>216</v>
      </c>
      <c r="L9" s="6" t="s">
        <v>99</v>
      </c>
      <c r="M9" s="3"/>
    </row>
    <row r="10" spans="1:13" ht="56" x14ac:dyDescent="0.2">
      <c r="A10" s="2" t="s">
        <v>132</v>
      </c>
      <c r="B10" s="3" t="s">
        <v>217</v>
      </c>
      <c r="C10" s="4" t="s">
        <v>180</v>
      </c>
      <c r="D10" s="4" t="s">
        <v>181</v>
      </c>
      <c r="E10" s="4" t="s">
        <v>38</v>
      </c>
      <c r="F10" s="4" t="s">
        <v>182</v>
      </c>
      <c r="G10" s="3" t="s">
        <v>183</v>
      </c>
      <c r="H10" s="3" t="s">
        <v>57</v>
      </c>
      <c r="I10" s="3" t="s">
        <v>218</v>
      </c>
      <c r="J10" s="3" t="s">
        <v>134</v>
      </c>
      <c r="K10" s="3" t="s">
        <v>133</v>
      </c>
      <c r="L10" s="6" t="s">
        <v>128</v>
      </c>
      <c r="M10" s="3"/>
    </row>
    <row r="11" spans="1:13" ht="70" x14ac:dyDescent="0.2">
      <c r="A11" s="2" t="s">
        <v>145</v>
      </c>
      <c r="B11" s="3" t="s">
        <v>219</v>
      </c>
      <c r="C11" s="4" t="s">
        <v>180</v>
      </c>
      <c r="D11" s="4" t="s">
        <v>181</v>
      </c>
      <c r="E11" s="4" t="s">
        <v>15</v>
      </c>
      <c r="F11" s="4" t="s">
        <v>182</v>
      </c>
      <c r="G11" s="3" t="s">
        <v>183</v>
      </c>
      <c r="H11" s="3" t="s">
        <v>142</v>
      </c>
      <c r="I11" s="3" t="s">
        <v>220</v>
      </c>
      <c r="J11" s="3" t="s">
        <v>148</v>
      </c>
      <c r="K11" s="3" t="s">
        <v>221</v>
      </c>
      <c r="L11" s="6" t="s">
        <v>140</v>
      </c>
      <c r="M11" s="3"/>
    </row>
    <row r="12" spans="1:13" ht="70" x14ac:dyDescent="0.2">
      <c r="A12" s="2" t="s">
        <v>152</v>
      </c>
      <c r="B12" s="3" t="s">
        <v>222</v>
      </c>
      <c r="C12" s="4" t="s">
        <v>223</v>
      </c>
      <c r="D12" s="4" t="s">
        <v>181</v>
      </c>
      <c r="E12" s="4" t="s">
        <v>38</v>
      </c>
      <c r="F12" s="4" t="s">
        <v>182</v>
      </c>
      <c r="G12" s="3" t="s">
        <v>183</v>
      </c>
      <c r="H12" s="3" t="s">
        <v>142</v>
      </c>
      <c r="I12" s="3" t="s">
        <v>224</v>
      </c>
      <c r="J12" s="3" t="s">
        <v>154</v>
      </c>
      <c r="K12" s="3" t="s">
        <v>225</v>
      </c>
      <c r="L12" s="6" t="s">
        <v>149</v>
      </c>
      <c r="M12" s="3" t="s">
        <v>226</v>
      </c>
    </row>
    <row r="13" spans="1:13" ht="70" x14ac:dyDescent="0.2">
      <c r="A13" s="2" t="s">
        <v>160</v>
      </c>
      <c r="B13" s="3" t="s">
        <v>227</v>
      </c>
      <c r="C13" s="4" t="s">
        <v>180</v>
      </c>
      <c r="D13" s="4" t="s">
        <v>188</v>
      </c>
      <c r="E13" s="4" t="s">
        <v>15</v>
      </c>
      <c r="F13" s="4" t="s">
        <v>182</v>
      </c>
      <c r="G13" s="3" t="s">
        <v>183</v>
      </c>
      <c r="H13" s="3" t="s">
        <v>157</v>
      </c>
      <c r="I13" s="3" t="s">
        <v>228</v>
      </c>
      <c r="J13" s="3" t="s">
        <v>34</v>
      </c>
      <c r="K13" s="3" t="s">
        <v>163</v>
      </c>
      <c r="L13" s="6" t="s">
        <v>155</v>
      </c>
      <c r="M13" s="3" t="s">
        <v>229</v>
      </c>
    </row>
    <row r="14" spans="1:13" ht="42" x14ac:dyDescent="0.2">
      <c r="A14" s="2" t="s">
        <v>139</v>
      </c>
      <c r="B14" s="3" t="s">
        <v>230</v>
      </c>
      <c r="C14" s="4" t="s">
        <v>180</v>
      </c>
      <c r="D14" s="4" t="s">
        <v>188</v>
      </c>
      <c r="E14" s="4" t="s">
        <v>15</v>
      </c>
      <c r="F14" s="4" t="s">
        <v>182</v>
      </c>
      <c r="G14" s="3" t="s">
        <v>183</v>
      </c>
      <c r="H14" s="3" t="s">
        <v>16</v>
      </c>
      <c r="I14" s="3" t="s">
        <v>231</v>
      </c>
      <c r="J14" s="3" t="s">
        <v>34</v>
      </c>
      <c r="K14" s="3" t="s">
        <v>232</v>
      </c>
      <c r="L14" s="6" t="s">
        <v>135</v>
      </c>
      <c r="M14" s="3" t="s">
        <v>192</v>
      </c>
    </row>
  </sheetData>
  <autoFilter ref="A1:M14" xr:uid="{00000000-0009-0000-0000-000001000000}"/>
  <conditionalFormatting sqref="D2:D500">
    <cfRule type="expression" dxfId="4" priority="2">
      <formula>D2="Blocker"</formula>
    </cfRule>
    <cfRule type="expression" dxfId="3" priority="3">
      <formula>D2="Critical"</formula>
    </cfRule>
    <cfRule type="expression" dxfId="2" priority="4">
      <formula>D2="Major"</formula>
    </cfRule>
    <cfRule type="expression" dxfId="1" priority="5">
      <formula>D2="Minor"</formula>
    </cfRule>
    <cfRule type="expression" dxfId="0" priority="6">
      <formula>D2="Trivial"</formula>
    </cfRule>
  </conditionalFormatting>
  <dataValidations count="4">
    <dataValidation type="list" allowBlank="1" sqref="C2:C500" xr:uid="{00000000-0002-0000-0100-000000000000}">
      <formula1>"Bug,Improvement"</formula1>
      <formula2>0</formula2>
    </dataValidation>
    <dataValidation type="list" allowBlank="1" sqref="D2:D500" xr:uid="{00000000-0002-0000-0100-000001000000}">
      <formula1>"Blocker,Critical,Major,Minor,Trivial"</formula1>
      <formula2>0</formula2>
    </dataValidation>
    <dataValidation type="list" allowBlank="1" sqref="E2:E500" xr:uid="{00000000-0002-0000-0100-000002000000}">
      <formula1>"High,Medium,Low"</formula1>
      <formula2>0</formula2>
    </dataValidation>
    <dataValidation type="list" allowBlank="1" sqref="F2:F500" xr:uid="{00000000-0002-0000-0100-000003000000}">
      <formula1>"New,Open,In Progress,Fixed,Retest,Reopened,Closed,Rejected,Duplicate"</formula1>
      <formula2>0</formula2>
    </dataValidation>
  </dataValidations>
  <hyperlinks>
    <hyperlink ref="L2" r:id="rId1" location="'Тест-кейсы'!A2" xr:uid="{00000000-0004-0000-0100-000000000000}"/>
    <hyperlink ref="L3" r:id="rId2" location="'Тест-кейсы'!A4" xr:uid="{00000000-0004-0000-0100-000001000000}"/>
    <hyperlink ref="L4" r:id="rId3" location="'Тест-кейсы'!A6" xr:uid="{00000000-0004-0000-0100-000002000000}"/>
    <hyperlink ref="L5" r:id="rId4" location="'Тест-кейсы'!A9" xr:uid="{00000000-0004-0000-0100-000003000000}"/>
    <hyperlink ref="L6" r:id="rId5" location="'Тест-кейсы'!A12" xr:uid="{00000000-0004-0000-0100-000004000000}"/>
    <hyperlink ref="L7" r:id="rId6" location="'Тест-кейсы'!A17" xr:uid="{00000000-0004-0000-0100-000005000000}"/>
    <hyperlink ref="L8" r:id="rId7" location="'Тест-кейсы'!A18" xr:uid="{00000000-0004-0000-0100-000006000000}"/>
    <hyperlink ref="L9" r:id="rId8" location="'Тест-кейсы'!A20" xr:uid="{00000000-0004-0000-0100-000007000000}"/>
    <hyperlink ref="L10" r:id="rId9" location="'Тест-кейсы'!A28" xr:uid="{00000000-0004-0000-0100-000008000000}"/>
    <hyperlink ref="L11" r:id="rId10" location="'Тест-кейсы'!A31" xr:uid="{00000000-0004-0000-0100-000009000000}"/>
    <hyperlink ref="L12" r:id="rId11" location="'Тест-кейсы'!A33" xr:uid="{00000000-0004-0000-0100-00000A000000}"/>
    <hyperlink ref="L13" r:id="rId12" location="'Тест-кейсы'!A35" xr:uid="{00000000-0004-0000-0100-00000B000000}"/>
    <hyperlink ref="L14" r:id="rId13" location="'Тест-кейсы'!A30" xr:uid="{00000000-0004-0000-0100-00000C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32"/>
  <sheetViews>
    <sheetView tabSelected="1" zoomScaleNormal="100" workbookViewId="0">
      <selection activeCell="B8" sqref="B8"/>
    </sheetView>
  </sheetViews>
  <sheetFormatPr baseColWidth="10" defaultColWidth="8.6640625" defaultRowHeight="15" x14ac:dyDescent="0.2"/>
  <cols>
    <col min="1" max="1" width="32" customWidth="1"/>
    <col min="2" max="2" width="60" customWidth="1"/>
  </cols>
  <sheetData>
    <row r="1" spans="1:2" ht="19" x14ac:dyDescent="0.2">
      <c r="A1" s="10" t="s">
        <v>233</v>
      </c>
    </row>
    <row r="3" spans="1:2" x14ac:dyDescent="0.2">
      <c r="A3" s="11" t="s">
        <v>234</v>
      </c>
    </row>
    <row r="4" spans="1:2" x14ac:dyDescent="0.2">
      <c r="A4" s="12" t="s">
        <v>235</v>
      </c>
      <c r="B4" s="3" t="s">
        <v>236</v>
      </c>
    </row>
    <row r="5" spans="1:2" x14ac:dyDescent="0.2">
      <c r="A5" s="12" t="s">
        <v>237</v>
      </c>
      <c r="B5" s="3" t="s">
        <v>238</v>
      </c>
    </row>
    <row r="6" spans="1:2" x14ac:dyDescent="0.2">
      <c r="A6" s="12" t="s">
        <v>175</v>
      </c>
      <c r="B6" s="3" t="s">
        <v>183</v>
      </c>
    </row>
    <row r="7" spans="1:2" x14ac:dyDescent="0.2">
      <c r="A7" s="12" t="s">
        <v>239</v>
      </c>
      <c r="B7" s="16" t="s">
        <v>256</v>
      </c>
    </row>
    <row r="8" spans="1:2" x14ac:dyDescent="0.2">
      <c r="A8" s="12" t="s">
        <v>240</v>
      </c>
      <c r="B8" s="3" t="s">
        <v>241</v>
      </c>
    </row>
    <row r="10" spans="1:2" x14ac:dyDescent="0.2">
      <c r="A10" s="11" t="s">
        <v>242</v>
      </c>
    </row>
    <row r="11" spans="1:2" x14ac:dyDescent="0.2">
      <c r="A11" s="3" t="s">
        <v>27</v>
      </c>
      <c r="B11" s="13">
        <f>COUNTIF('Тест-кейсы'!$K$2:$K$500,"Passed")</f>
        <v>8</v>
      </c>
    </row>
    <row r="12" spans="1:2" x14ac:dyDescent="0.2">
      <c r="A12" s="3" t="s">
        <v>20</v>
      </c>
      <c r="B12" s="13">
        <f>COUNTIF('Тест-кейсы'!$K$2:$K$500,"Failed")</f>
        <v>14</v>
      </c>
    </row>
    <row r="13" spans="1:2" x14ac:dyDescent="0.2">
      <c r="A13" s="3" t="s">
        <v>166</v>
      </c>
      <c r="B13" s="13">
        <f>COUNTIF('Тест-кейсы'!$K$2:$K$500,"Blocked")</f>
        <v>1</v>
      </c>
    </row>
    <row r="14" spans="1:2" x14ac:dyDescent="0.2">
      <c r="A14" s="3" t="s">
        <v>243</v>
      </c>
      <c r="B14" s="13">
        <f>COUNTIF('Тест-кейсы'!$K$2:$K$500,"Skipped")</f>
        <v>0</v>
      </c>
    </row>
    <row r="15" spans="1:2" x14ac:dyDescent="0.2">
      <c r="A15" s="3" t="s">
        <v>244</v>
      </c>
      <c r="B15" s="13">
        <f>COUNTIF('Тест-кейсы'!$K$2:$K$500,"Not run")</f>
        <v>0</v>
      </c>
    </row>
    <row r="16" spans="1:2" x14ac:dyDescent="0.2">
      <c r="A16" s="12" t="s">
        <v>245</v>
      </c>
      <c r="B16" s="14">
        <f>SUM(B11:B15)</f>
        <v>23</v>
      </c>
    </row>
    <row r="17" spans="1:2" x14ac:dyDescent="0.2">
      <c r="A17" s="12" t="s">
        <v>246</v>
      </c>
      <c r="B17" s="15">
        <f>IF(B16=0,0,B11/B16)</f>
        <v>0.34782608695652173</v>
      </c>
    </row>
    <row r="19" spans="1:2" x14ac:dyDescent="0.2">
      <c r="A19" s="11" t="s">
        <v>247</v>
      </c>
    </row>
    <row r="20" spans="1:2" x14ac:dyDescent="0.2">
      <c r="A20" s="3" t="s">
        <v>248</v>
      </c>
      <c r="B20" s="13">
        <f>COUNTIF('Баг-репорты'!$D$2:$D$500,"Blocker")</f>
        <v>0</v>
      </c>
    </row>
    <row r="21" spans="1:2" x14ac:dyDescent="0.2">
      <c r="A21" s="3" t="s">
        <v>196</v>
      </c>
      <c r="B21" s="13">
        <f>COUNTIF('Баг-репорты'!$D$2:$D$500,"Critical")</f>
        <v>1</v>
      </c>
    </row>
    <row r="22" spans="1:2" x14ac:dyDescent="0.2">
      <c r="A22" s="3" t="s">
        <v>188</v>
      </c>
      <c r="B22" s="13">
        <f>COUNTIF('Баг-репорты'!$D$2:$D$500,"Major")</f>
        <v>3</v>
      </c>
    </row>
    <row r="23" spans="1:2" x14ac:dyDescent="0.2">
      <c r="A23" s="3" t="s">
        <v>181</v>
      </c>
      <c r="B23" s="13">
        <f>COUNTIF('Баг-репорты'!$D$2:$D$500,"Minor")</f>
        <v>8</v>
      </c>
    </row>
    <row r="24" spans="1:2" x14ac:dyDescent="0.2">
      <c r="A24" s="3" t="s">
        <v>201</v>
      </c>
      <c r="B24" s="13">
        <f>COUNTIF('Баг-репорты'!$D$2:$D$500,"Trivial")</f>
        <v>1</v>
      </c>
    </row>
    <row r="25" spans="1:2" x14ac:dyDescent="0.2">
      <c r="A25" s="12" t="s">
        <v>249</v>
      </c>
      <c r="B25" s="14">
        <f>SUM(B20:B24)</f>
        <v>13</v>
      </c>
    </row>
    <row r="26" spans="1:2" x14ac:dyDescent="0.2">
      <c r="A26" s="3" t="s">
        <v>250</v>
      </c>
      <c r="B26" s="13">
        <f>COUNTIF('Баг-репорты'!$C$2:$C$500,"Bug")</f>
        <v>12</v>
      </c>
    </row>
    <row r="27" spans="1:2" x14ac:dyDescent="0.2">
      <c r="A27" s="3" t="s">
        <v>251</v>
      </c>
      <c r="B27" s="13">
        <f>COUNTIF('Баг-репорты'!$C$2:$C$500,"Improvement")</f>
        <v>1</v>
      </c>
    </row>
    <row r="28" spans="1:2" x14ac:dyDescent="0.2">
      <c r="A28" s="12" t="s">
        <v>252</v>
      </c>
      <c r="B28" s="14">
        <f>COUNTIFS('Баг-репорты'!$D$2:$D$500,"Blocker",'Баг-репорты'!$F$2:$F$500,"New")+COUNTIFS('Баг-репорты'!$D$2:$D$500,"Blocker",'Баг-репорты'!$F$2:$F$500,"Open")+COUNTIFS('Баг-репорты'!$D$2:$D$500,"Blocker",'Баг-репорты'!$F$2:$F$500,"In Progress")+COUNTIFS('Баг-репорты'!$D$2:$D$500,"Blocker",'Баг-репорты'!$F$2:$F$500,"Fixed")+COUNTIFS('Баг-репорты'!$D$2:$D$500,"Blocker",'Баг-репорты'!$F$2:$F$500,"Retest")+COUNTIFS('Баг-репорты'!$D$2:$D$500,"Blocker",'Баг-репорты'!$F$2:$F$500,"Reopened")+COUNTIFS('Баг-репорты'!$D$2:$D$500,"Critical",'Баг-репорты'!$F$2:$F$500,"New")+COUNTIFS('Баг-репорты'!$D$2:$D$500,"Critical",'Баг-репорты'!$F$2:$F$500,"Open")+COUNTIFS('Баг-репорты'!$D$2:$D$500,"Critical",'Баг-репорты'!$F$2:$F$500,"In Progress")+COUNTIFS('Баг-репорты'!$D$2:$D$500,"Critical",'Баг-репорты'!$F$2:$F$500,"Fixed")+COUNTIFS('Баг-репорты'!$D$2:$D$500,"Critical",'Баг-репорты'!$F$2:$F$500,"Retest")+COUNTIFS('Баг-репорты'!$D$2:$D$500,"Critical",'Баг-репорты'!$F$2:$F$500,"Reopened")</f>
        <v>1</v>
      </c>
    </row>
    <row r="30" spans="1:2" x14ac:dyDescent="0.2">
      <c r="A30" s="11" t="s">
        <v>253</v>
      </c>
    </row>
    <row r="31" spans="1:2" x14ac:dyDescent="0.2">
      <c r="A31" s="3" t="s">
        <v>254</v>
      </c>
      <c r="B31" s="12" t="str">
        <f>IF(B28&gt;0,"Не готов: есть открытые Blocker или Critical",IF(B13+B15&gt;0,"Не готов: есть заблокированные или непройденные кейсы","Готов к релизу"))</f>
        <v>Не готов: есть открытые Blocker или Critical</v>
      </c>
    </row>
    <row r="32" spans="1:2" ht="105" customHeight="1" x14ac:dyDescent="0.2">
      <c r="A32" s="3" t="s">
        <v>178</v>
      </c>
      <c r="B32" s="3" t="s">
        <v>255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Тест-кейсы</vt:lpstr>
      <vt:lpstr>Баг-репорты</vt:lpstr>
      <vt:lpstr>Отчёт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Артур .</cp:lastModifiedBy>
  <cp:revision>0</cp:revision>
  <dcterms:created xsi:type="dcterms:W3CDTF">2026-10-26T12:22:12Z</dcterms:created>
  <dcterms:modified xsi:type="dcterms:W3CDTF">2026-10-26T12:24:06Z</dcterms:modified>
  <dc:language>en-US</dc:language>
</cp:coreProperties>
</file>